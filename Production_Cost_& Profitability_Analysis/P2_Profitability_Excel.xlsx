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ob\Desktop\Production_Cost_&amp; Profitability_Analysis\"/>
    </mc:Choice>
  </mc:AlternateContent>
  <xr:revisionPtr revIDLastSave="0" documentId="8_{9BC16B52-A32D-4DCD-9477-1D87CA4C7A38}" xr6:coauthVersionLast="47" xr6:coauthVersionMax="47" xr10:uidLastSave="{00000000-0000-0000-0000-000000000000}"/>
  <bookViews>
    <workbookView xWindow="28680" yWindow="-225" windowWidth="29040" windowHeight="15840" activeTab="2" xr2:uid="{5DB3060A-A755-4AAB-A839-080FE331D57A}"/>
  </bookViews>
  <sheets>
    <sheet name="Gross Profit by Product &amp; Month" sheetId="2" r:id="rId1"/>
    <sheet name="Gross Margin % by Product (Line" sheetId="3" r:id="rId2"/>
    <sheet name="  Revenue vs COGS " sheetId="4" r:id="rId3"/>
    <sheet name="p2_monthly_product_summary" sheetId="1" r:id="rId4"/>
  </sheets>
  <calcPr calcId="0"/>
  <pivotCaches>
    <pivotCache cacheId="6" r:id="rId5"/>
  </pivotCaches>
</workbook>
</file>

<file path=xl/sharedStrings.xml><?xml version="1.0" encoding="utf-8"?>
<sst xmlns="http://schemas.openxmlformats.org/spreadsheetml/2006/main" count="64" uniqueCount="30">
  <si>
    <t>month</t>
  </si>
  <si>
    <t>product</t>
  </si>
  <si>
    <t>revenue</t>
  </si>
  <si>
    <t>cogs</t>
  </si>
  <si>
    <t>scrap_cost</t>
  </si>
  <si>
    <t>gross_profit</t>
  </si>
  <si>
    <t>units_sold</t>
  </si>
  <si>
    <t>gross_margin_pct</t>
  </si>
  <si>
    <t>Widget-A</t>
  </si>
  <si>
    <t>Widget-B</t>
  </si>
  <si>
    <t>Widget-C</t>
  </si>
  <si>
    <t>Row Labels</t>
  </si>
  <si>
    <t>Grand Total</t>
  </si>
  <si>
    <t>Apr</t>
  </si>
  <si>
    <t>May</t>
  </si>
  <si>
    <t>Jun</t>
  </si>
  <si>
    <t>Jul</t>
  </si>
  <si>
    <t>Aug</t>
  </si>
  <si>
    <t>Sep</t>
  </si>
  <si>
    <t>Column Labels</t>
  </si>
  <si>
    <t>Sum of gross_profit</t>
  </si>
  <si>
    <t>1-Apr</t>
  </si>
  <si>
    <t>1-May</t>
  </si>
  <si>
    <t>1-Jun</t>
  </si>
  <si>
    <t>1-Jul</t>
  </si>
  <si>
    <t>1-Aug</t>
  </si>
  <si>
    <t>1-Sep</t>
  </si>
  <si>
    <t>Sum of gross_margin_pct</t>
  </si>
  <si>
    <t>Sum of revenue</t>
  </si>
  <si>
    <t>Sum of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</si>
</sst>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[P2_Profitability_Excel.xlsx]Gross Profit by Product &amp; Month!PivotTable1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'Gross Profit by Product &amp; Month'!$B$3:$B$4</c:f>
              <c:strCache>
                <c:ptCount val="1"/>
                <c:pt idx="0">
                  <c:v>Widget-A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'Gross Profit by Product &amp; Month'!$A$5:$A$11</c:f>
              <c:strCache>
                <c:ptCount val="6"/>
                <c:pt idx="0">
                  <c:v>1-Apr</c:v>
                </c:pt>
                <c:pt idx="1">
                  <c:v>1-May</c:v>
                </c:pt>
                <c:pt idx="2">
                  <c:v>1-Jun</c:v>
                </c:pt>
                <c:pt idx="3">
                  <c:v>1-Jul</c:v>
                </c:pt>
                <c:pt idx="4">
                  <c:v>1-Aug</c:v>
                </c:pt>
                <c:pt idx="5">
                  <c:v>1-Sep</c:v>
                </c:pt>
              </c:strCache>
            </c:strRef>
          </c:cat>
          <c:val>
            <c:numRef>
              <c:f>'Gross Profit by Product &amp; Month'!$B$5:$B$11</c:f>
              <c:numCache>
                <c:formatCode>General</c:formatCode>
                <c:ptCount val="6"/>
                <c:pt idx="0">
                  <c:v>66480.404999999999</c:v>
                </c:pt>
                <c:pt idx="1">
                  <c:v>72748.0799999999</c:v>
                </c:pt>
                <c:pt idx="2">
                  <c:v>64754.429999999898</c:v>
                </c:pt>
                <c:pt idx="3">
                  <c:v>65451.982499999896</c:v>
                </c:pt>
                <c:pt idx="4">
                  <c:v>68978.977499999994</c:v>
                </c:pt>
                <c:pt idx="5">
                  <c:v>54798.862499999901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4-4713-B18F-368E5169FD6C}"/>
            </c:ext>
          </c:extLst>
        </c:ser>
        <c:ser>
          <c:idx val="1"/>
          <c:order val="1"/>
          <c:tx>
            <c:strRef>
              <c:f>'Gross Profit by Product &amp; Month'!$C$3:$C$4</c:f>
              <c:strCache>
                <c:ptCount val="1"/>
                <c:pt idx="0">
                  <c:v>Widget-B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'Gross Profit by Product &amp; Month'!$A$5:$A$11</c:f>
              <c:strCache>
                <c:ptCount val="6"/>
                <c:pt idx="0">
                  <c:v>1-Apr</c:v>
                </c:pt>
                <c:pt idx="1">
                  <c:v>1-May</c:v>
                </c:pt>
                <c:pt idx="2">
                  <c:v>1-Jun</c:v>
                </c:pt>
                <c:pt idx="3">
                  <c:v>1-Jul</c:v>
                </c:pt>
                <c:pt idx="4">
                  <c:v>1-Aug</c:v>
                </c:pt>
                <c:pt idx="5">
                  <c:v>1-Sep</c:v>
                </c:pt>
              </c:strCache>
            </c:strRef>
          </c:cat>
          <c:val>
            <c:numRef>
              <c:f>'Gross Profit by Product &amp; Month'!$C$5:$C$11</c:f>
              <c:numCache>
                <c:formatCode>General</c:formatCode>
                <c:ptCount val="6"/>
                <c:pt idx="0">
                  <c:v>58878.273000000001</c:v>
                </c:pt>
                <c:pt idx="1">
                  <c:v>53816.697</c:v>
                </c:pt>
                <c:pt idx="2">
                  <c:v>56772.466</c:v>
                </c:pt>
                <c:pt idx="3">
                  <c:v>58052.01</c:v>
                </c:pt>
                <c:pt idx="4">
                  <c:v>59784.093000000001</c:v>
                </c:pt>
                <c:pt idx="5">
                  <c:v>49420.281000000003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4-4713-B18F-368E5169FD6C}"/>
            </c:ext>
          </c:extLst>
        </c:ser>
        <c:ser>
          <c:idx val="2"/>
          <c:order val="2"/>
          <c:tx>
            <c:strRef>
              <c:f>'Gross Profit by Product &amp; Month'!$D$3:$D$4</c:f>
              <c:strCache>
                <c:ptCount val="1"/>
                <c:pt idx="0">
                  <c:v>Widget-C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'Gross Profit by Product &amp; Month'!$A$5:$A$11</c:f>
              <c:strCache>
                <c:ptCount val="6"/>
                <c:pt idx="0">
                  <c:v>1-Apr</c:v>
                </c:pt>
                <c:pt idx="1">
                  <c:v>1-May</c:v>
                </c:pt>
                <c:pt idx="2">
                  <c:v>1-Jun</c:v>
                </c:pt>
                <c:pt idx="3">
                  <c:v>1-Jul</c:v>
                </c:pt>
                <c:pt idx="4">
                  <c:v>1-Aug</c:v>
                </c:pt>
                <c:pt idx="5">
                  <c:v>1-Sep</c:v>
                </c:pt>
              </c:strCache>
            </c:strRef>
          </c:cat>
          <c:val>
            <c:numRef>
              <c:f>'Gross Profit by Product &amp; Month'!$D$5:$D$11</c:f>
              <c:numCache>
                <c:formatCode>General</c:formatCode>
                <c:ptCount val="6"/>
                <c:pt idx="0">
                  <c:v>60296.933199999898</c:v>
                </c:pt>
                <c:pt idx="1">
                  <c:v>68658.605199999904</c:v>
                </c:pt>
                <c:pt idx="2">
                  <c:v>64491.260399999897</c:v>
                </c:pt>
                <c:pt idx="3">
                  <c:v>64960.450199999897</c:v>
                </c:pt>
                <c:pt idx="4">
                  <c:v>64307.948799999896</c:v>
                </c:pt>
                <c:pt idx="5">
                  <c:v>53410.002599999898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4-4713-B18F-368E5169F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992959"/>
        <c:axId val="1779994879"/>
      </c:barChart>
      <c:catAx>
        <c:axId val="177999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94879"/>
        <c:crosses val="autoZero"/>
        <c:auto val="1"/>
        <c:lblAlgn val="ctr"/>
        <c:lblOffset val="100"/>
        <c:noMultiLvlLbl val="0"/>
      </c:catAx>
      <c:valAx>
        <c:axId val="17799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9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[P2_Profitability_Excel.xlsx]Gross Margin % by Product (Line!PivotTable2</c:name>
    <c:fmtId val="1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'Gross Margin % by Product (Line'!$B$3:$B$4</c:f>
              <c:strCache>
                <c:ptCount val="1"/>
                <c:pt idx="0">
                  <c:v>Widget-A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'Gross Margin % by Product (Line'!$A$5:$A$11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'Gross Margin % by Product (Line'!$B$5:$B$11</c:f>
              <c:numCache>
                <c:formatCode>General</c:formatCode>
                <c:ptCount val="6"/>
                <c:pt idx="0">
                  <c:v>38.737204542119301</c:v>
                </c:pt>
                <c:pt idx="1">
                  <c:v>38.848478284969801</c:v>
                </c:pt>
                <c:pt idx="2">
                  <c:v>39.008779718364401</c:v>
                </c:pt>
                <c:pt idx="3">
                  <c:v>38.735038656116501</c:v>
                </c:pt>
                <c:pt idx="4">
                  <c:v>38.323064136067998</c:v>
                </c:pt>
                <c:pt idx="5">
                  <c:v>38.038529908718601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B-4E59-A680-CEFCB4D22ECF}"/>
            </c:ext>
          </c:extLst>
        </c:ser>
        <c:ser>
          <c:idx val="1"/>
          <c:order val="1"/>
          <c:tx>
            <c:strRef>
              <c:f>'Gross Margin % by Product (Line'!$C$3:$C$4</c:f>
              <c:strCache>
                <c:ptCount val="1"/>
                <c:pt idx="0">
                  <c:v>Widget-B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'Gross Margin % by Product (Line'!$A$5:$A$11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'Gross Margin % by Product (Line'!$C$5:$C$11</c:f>
              <c:numCache>
                <c:formatCode>General</c:formatCode>
                <c:ptCount val="6"/>
                <c:pt idx="0">
                  <c:v>31.783508251131099</c:v>
                </c:pt>
                <c:pt idx="1">
                  <c:v>30.997277307828</c:v>
                </c:pt>
                <c:pt idx="2">
                  <c:v>31.663312018385898</c:v>
                </c:pt>
                <c:pt idx="3">
                  <c:v>31.755586615327701</c:v>
                </c:pt>
                <c:pt idx="4">
                  <c:v>31.140258126523499</c:v>
                </c:pt>
                <c:pt idx="5">
                  <c:v>31.278919980350899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B-4E59-A680-CEFCB4D22ECF}"/>
            </c:ext>
          </c:extLst>
        </c:ser>
        <c:ser>
          <c:idx val="2"/>
          <c:order val="2"/>
          <c:tx>
            <c:strRef>
              <c:f>'Gross Margin % by Product (Line'!$D$3:$D$4</c:f>
              <c:strCache>
                <c:ptCount val="1"/>
                <c:pt idx="0">
                  <c:v>Widget-C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'Gross Margin % by Product (Line'!$A$5:$A$11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'Gross Margin % by Product (Line'!$D$5:$D$11</c:f>
              <c:numCache>
                <c:formatCode>General</c:formatCode>
                <c:ptCount val="6"/>
                <c:pt idx="0">
                  <c:v>34.588837455431403</c:v>
                </c:pt>
                <c:pt idx="1">
                  <c:v>35.345393377128701</c:v>
                </c:pt>
                <c:pt idx="2">
                  <c:v>35.250051985294903</c:v>
                </c:pt>
                <c:pt idx="3">
                  <c:v>34.424330525945798</c:v>
                </c:pt>
                <c:pt idx="4">
                  <c:v>34.961097251072601</c:v>
                </c:pt>
                <c:pt idx="5">
                  <c:v>34.613065151792803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BB-4E59-A680-CEFCB4D22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08175"/>
        <c:axId val="121608655"/>
      </c:lineChart>
      <c:catAx>
        <c:axId val="12160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8655"/>
        <c:crosses val="autoZero"/>
        <c:auto val="1"/>
        <c:lblAlgn val="ctr"/>
        <c:lblOffset val="100"/>
        <c:noMultiLvlLbl val="0"/>
      </c:catAx>
      <c:valAx>
        <c:axId val="12160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[P2_Profitability_Excel.xlsx]  Revenue vs COGS !PivotTable3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 Revenue vs COGS 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 Revenue vs COGS '!$A$4:$A$10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  Revenue vs COGS '!$B$4:$B$10</c:f>
              <c:numCache>
                <c:formatCode>General</c:formatCode>
                <c:ptCount val="6"/>
                <c:pt idx="0">
                  <c:v>531191.71120000002</c:v>
                </c:pt>
                <c:pt idx="1">
                  <c:v>555129.08219999901</c:v>
                </c:pt>
                <c:pt idx="2">
                  <c:v>528253.75639999902</c:v>
                </c:pt>
                <c:pt idx="3">
                  <c:v>540487.44269999897</c:v>
                </c:pt>
                <c:pt idx="4">
                  <c:v>555918.11929999897</c:v>
                </c:pt>
                <c:pt idx="5">
                  <c:v>456366.04609999899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3-441B-81C8-A4035D99D85B}"/>
            </c:ext>
          </c:extLst>
        </c:ser>
        <c:ser>
          <c:idx val="1"/>
          <c:order val="1"/>
          <c:tx>
            <c:strRef>
              <c:f>'  Revenue vs COGS '!$C$3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 Revenue vs COGS '!$A$4:$A$10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  Revenue vs COGS '!$C$4:$C$10</c:f>
              <c:numCache>
                <c:formatCode>General</c:formatCode>
                <c:ptCount val="6"/>
                <c:pt idx="0">
                  <c:v>331764.299999999</c:v>
                </c:pt>
                <c:pt idx="1">
                  <c:v>346406.19999999902</c:v>
                </c:pt>
                <c:pt idx="2">
                  <c:v>328928.59999999899</c:v>
                </c:pt>
                <c:pt idx="3">
                  <c:v>338616.59999999899</c:v>
                </c:pt>
                <c:pt idx="4">
                  <c:v>349231.39999999898</c:v>
                </c:pt>
                <c:pt idx="5">
                  <c:v>286334.299999999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3-441B-81C8-A4035D99D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000991"/>
        <c:axId val="1807998799"/>
      </c:barChart>
      <c:catAx>
        <c:axId val="180800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98799"/>
        <c:crosses val="autoZero"/>
        <c:auto val="1"/>
        <c:lblAlgn val="ctr"/>
        <c:lblOffset val="100"/>
        <c:noMultiLvlLbl val="0"/>
      </c:catAx>
      <c:valAx>
        <c:axId val="180799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00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176212</xdr:rowOff>
    </xdr:from>
    <xdr:to>
      <xdr:col>5</xdr:col>
      <xdr:colOff>19050</xdr:colOff>
      <xdr:row>26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BF260-7594-3826-3144-EE04387B3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14287</xdr:rowOff>
    </xdr:from>
    <xdr:to>
      <xdr:col>4</xdr:col>
      <xdr:colOff>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908B9-6D7E-CB6A-5E67-EEF408D9E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33337</xdr:rowOff>
    </xdr:from>
    <xdr:to>
      <xdr:col>6</xdr:col>
      <xdr:colOff>123825</xdr:colOff>
      <xdr:row>25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C1A352-825D-FE7E-6324-38A11C458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e Amobi" refreshedDate="45962.572935069446" createdVersion="8" refreshedVersion="8" minRefreshableVersion="3" recordCount="18" xr:uid="{134708D7-5B55-4E5E-86A2-954C4F21A066}">
  <cacheSource type="worksheet">
    <worksheetSource ref="A1:H19" sheet="p2_monthly_product_summary"/>
  </cacheSource>
  <cacheFields count="10">
    <cacheField name="month" numFmtId="14">
      <sharedItems containsSemiMixedTypes="0" containsNonDate="0" containsDate="1" containsString="0" minDate="2025-04-01T00:00:00" maxDate="2025-09-02T00:00:00" count="6">
        <d v="2025-04-01T00:00:00"/>
        <d v="2025-05-01T00:00:00"/>
        <d v="2025-06-01T00:00:00"/>
        <d v="2025-07-01T00:00:00"/>
        <d v="2025-08-01T00:00:00"/>
        <d v="2025-09-01T00:00:00"/>
      </sharedItems>
      <fieldGroup par="9"/>
    </cacheField>
    <cacheField name="product" numFmtId="0">
      <sharedItems count="3">
        <s v="Widget-A"/>
        <s v="Widget-B"/>
        <s v="Widget-C"/>
      </sharedItems>
    </cacheField>
    <cacheField name="revenue" numFmtId="0">
      <sharedItems containsSemiMixedTypes="0" containsString="0" containsNumber="1" minValue="144061.46249999999" maxValue="194250.505199999"/>
    </cacheField>
    <cacheField name="cogs" numFmtId="0">
      <sharedItems containsSemiMixedTypes="0" containsString="0" containsNumber="1" minValue="85642.2" maxValue="127002.399999999"/>
    </cacheField>
    <cacheField name="scrap_cost" numFmtId="0">
      <sharedItems containsSemiMixedTypes="0" containsString="0" containsNumber="1" minValue="3591" maxValue="5258.3999999999896"/>
    </cacheField>
    <cacheField name="gross_profit" numFmtId="0">
      <sharedItems containsSemiMixedTypes="0" containsString="0" containsNumber="1" minValue="49420.281000000003" maxValue="72748.0799999999"/>
    </cacheField>
    <cacheField name="units_sold" numFmtId="0">
      <sharedItems containsSemiMixedTypes="0" containsString="0" containsNumber="1" containsInteger="1" minValue="18512" maxValue="26361"/>
    </cacheField>
    <cacheField name="gross_margin_pct" numFmtId="0">
      <sharedItems containsSemiMixedTypes="0" containsString="0" containsNumber="1" minValue="30.997277307828" maxValue="39.008779718364401"/>
    </cacheField>
    <cacheField name="Days (month)" numFmtId="0" databaseField="0">
      <fieldGroup base="0">
        <rangePr groupBy="days" startDate="2025-04-01T00:00:00" endDate="2025-09-02T00:00:00"/>
        <groupItems count="368">
          <s v="&lt;4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2/2025"/>
        </groupItems>
      </fieldGroup>
    </cacheField>
    <cacheField name="Months (month)" numFmtId="0" databaseField="0">
      <fieldGroup base="0">
        <rangePr groupBy="months" startDate="2025-04-01T00:00:00" endDate="2025-09-02T00:00:00"/>
        <groupItems count="14">
          <s v="&lt;4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171619.005"/>
    <n v="101148.6"/>
    <n v="3990"/>
    <n v="66480.404999999999"/>
    <n v="24083"/>
    <n v="38.737204542119301"/>
  </r>
  <r>
    <x v="0"/>
    <x v="1"/>
    <n v="185247.87299999999"/>
    <n v="121340.799999999"/>
    <n v="5028.7999999999902"/>
    <n v="58878.273000000001"/>
    <n v="21668"/>
    <n v="31.783508251131099"/>
  </r>
  <r>
    <x v="0"/>
    <x v="2"/>
    <n v="174324.83319999999"/>
    <n v="109274.9"/>
    <n v="4753"/>
    <n v="60296.933199999898"/>
    <n v="22301"/>
    <n v="34.588837455431403"/>
  </r>
  <r>
    <x v="1"/>
    <x v="0"/>
    <n v="187261.08"/>
    <n v="110716.2"/>
    <n v="3796.8"/>
    <n v="72748.0799999999"/>
    <n v="26361"/>
    <n v="38.848478284969801"/>
  </r>
  <r>
    <x v="1"/>
    <x v="1"/>
    <n v="173617.497"/>
    <n v="114542.399999999"/>
    <n v="5258.3999999999896"/>
    <n v="53816.697"/>
    <n v="20454"/>
    <n v="30.997277307828"/>
  </r>
  <r>
    <x v="1"/>
    <x v="2"/>
    <n v="194250.505199999"/>
    <n v="121147.6"/>
    <n v="4444.3"/>
    <n v="68658.605199999904"/>
    <n v="24724"/>
    <n v="35.345393377128701"/>
  </r>
  <r>
    <x v="2"/>
    <x v="0"/>
    <n v="165999.63"/>
    <n v="97654.2"/>
    <n v="3591"/>
    <n v="64754.429999999898"/>
    <n v="23251"/>
    <n v="39.008779718364401"/>
  </r>
  <r>
    <x v="2"/>
    <x v="1"/>
    <n v="179300.46599999999"/>
    <n v="117359.19999999899"/>
    <n v="5168.7999999999902"/>
    <n v="56772.466"/>
    <n v="20957"/>
    <n v="31.663312018385898"/>
  </r>
  <r>
    <x v="2"/>
    <x v="2"/>
    <n v="182953.660399999"/>
    <n v="113915.2"/>
    <n v="4547.2"/>
    <n v="64491.260399999897"/>
    <n v="23248"/>
    <n v="35.250051985294903"/>
  </r>
  <r>
    <x v="3"/>
    <x v="0"/>
    <n v="168973.58249999999"/>
    <n v="99569.4"/>
    <n v="3952.2"/>
    <n v="65451.982499999896"/>
    <n v="23707"/>
    <n v="38.735038656116501"/>
  </r>
  <r>
    <x v="3"/>
    <x v="1"/>
    <n v="182808.81"/>
    <n v="119683.19999999899"/>
    <n v="5073.5999999999904"/>
    <n v="58052.01"/>
    <n v="21372"/>
    <n v="31.755586615327701"/>
  </r>
  <r>
    <x v="3"/>
    <x v="2"/>
    <n v="188705.05019999901"/>
    <n v="119364"/>
    <n v="4380.6000000000004"/>
    <n v="64960.450199999897"/>
    <n v="24360"/>
    <n v="34.424330525945798"/>
  </r>
  <r>
    <x v="4"/>
    <x v="0"/>
    <n v="179993.3775"/>
    <n v="107226"/>
    <n v="3788.4"/>
    <n v="68978.977499999994"/>
    <n v="25530"/>
    <n v="38.323064136067998"/>
  </r>
  <r>
    <x v="4"/>
    <x v="1"/>
    <n v="191983.29300000001"/>
    <n v="127002.399999999"/>
    <n v="5196.7999999999902"/>
    <n v="59784.093000000001"/>
    <n v="22679"/>
    <n v="31.140258126523499"/>
  </r>
  <r>
    <x v="4"/>
    <x v="2"/>
    <n v="183941.44879999899"/>
    <n v="115003"/>
    <n v="4630.5"/>
    <n v="64307.948799999896"/>
    <n v="23470"/>
    <n v="34.961097251072601"/>
  </r>
  <r>
    <x v="5"/>
    <x v="0"/>
    <n v="144061.46249999999"/>
    <n v="85642.2"/>
    <n v="3620.4"/>
    <n v="54798.862499999901"/>
    <n v="20391"/>
    <n v="38.038529908718601"/>
  </r>
  <r>
    <x v="5"/>
    <x v="1"/>
    <n v="157998.68100000001"/>
    <n v="103667.19999999899"/>
    <n v="4911.1999999999898"/>
    <n v="49420.281000000003"/>
    <n v="18512"/>
    <n v="31.278919980350899"/>
  </r>
  <r>
    <x v="5"/>
    <x v="2"/>
    <n v="154305.90259999901"/>
    <n v="97024.9"/>
    <n v="3871"/>
    <n v="53410.002599999898"/>
    <n v="19801"/>
    <n v="34.6130651517928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3E510-6C32-4AD8-B138-AA7F19C1C0A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E11" firstHeaderRow="1" firstDataRow="2" firstDataCol="1"/>
  <pivotFields count="10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0"/>
    <field x="9"/>
  </rowFields>
  <rowItems count="7">
    <i>
      <x v="92"/>
    </i>
    <i>
      <x v="122"/>
    </i>
    <i>
      <x v="153"/>
    </i>
    <i>
      <x v="183"/>
    </i>
    <i>
      <x v="214"/>
    </i>
    <i>
      <x v="24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gross_profit" fld="5" baseField="0" baseItem="0"/>
  </dataFields>
  <chartFormats count="12">
    <chartFormat chart="27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7" format="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26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6" format="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25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5" format="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5" format="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CE917-4DCB-4C68-8B99-2E9B49A0A50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E11" firstHeaderRow="1" firstDataRow="2" firstDataCol="1"/>
  <pivotFields count="10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9"/>
    <field x="8"/>
    <field x="0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gross_margin_pct" fld="7" baseField="0" baseItem="0"/>
  </dataFields>
  <chartFormats count="3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4DCF0-1C9B-419F-B370-68036D6BFFDE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C10" firstHeaderRow="0" firstDataRow="1" firstDataCol="1"/>
  <pivotFields count="10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9"/>
    <field x="8"/>
    <field x="0"/>
    <field x="1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" baseField="0" baseItem="0"/>
    <dataField name="Sum of cogs" fld="3" baseField="0" baseItem="0"/>
  </dataField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20E6-9C9C-4AE4-93CB-9BF756E43FA2}">
  <dimension ref="A3:E11"/>
  <sheetViews>
    <sheetView workbookViewId="0">
      <selection activeCell="D6" sqref="D6"/>
    </sheetView>
  </sheetViews>
  <sheetFormatPr defaultRowHeight="15" x14ac:dyDescent="0.25"/>
  <cols>
    <col min="1" max="1" width="18.7109375" bestFit="1" customWidth="1"/>
    <col min="2" max="2" width="16.85546875" bestFit="1" customWidth="1"/>
    <col min="3" max="3" width="10" bestFit="1" customWidth="1"/>
    <col min="4" max="5" width="12" bestFit="1" customWidth="1"/>
  </cols>
  <sheetData>
    <row r="3" spans="1:5" x14ac:dyDescent="0.25">
      <c r="A3" s="2" t="s">
        <v>20</v>
      </c>
      <c r="B3" s="2" t="s">
        <v>19</v>
      </c>
    </row>
    <row r="4" spans="1:5" x14ac:dyDescent="0.25">
      <c r="A4" s="2" t="s">
        <v>11</v>
      </c>
      <c r="B4" t="s">
        <v>8</v>
      </c>
      <c r="C4" t="s">
        <v>9</v>
      </c>
      <c r="D4" t="s">
        <v>10</v>
      </c>
      <c r="E4" t="s">
        <v>12</v>
      </c>
    </row>
    <row r="5" spans="1:5" x14ac:dyDescent="0.25">
      <c r="A5" s="3" t="s">
        <v>21</v>
      </c>
      <c r="B5" s="4">
        <v>66480.404999999999</v>
      </c>
      <c r="C5" s="4">
        <v>58878.273000000001</v>
      </c>
      <c r="D5" s="4">
        <v>60296.933199999898</v>
      </c>
      <c r="E5" s="4">
        <v>185655.6111999999</v>
      </c>
    </row>
    <row r="6" spans="1:5" x14ac:dyDescent="0.25">
      <c r="A6" s="3" t="s">
        <v>22</v>
      </c>
      <c r="B6" s="4">
        <v>72748.0799999999</v>
      </c>
      <c r="C6" s="4">
        <v>53816.697</v>
      </c>
      <c r="D6" s="4">
        <v>68658.605199999904</v>
      </c>
      <c r="E6" s="4">
        <v>195223.38219999982</v>
      </c>
    </row>
    <row r="7" spans="1:5" x14ac:dyDescent="0.25">
      <c r="A7" s="3" t="s">
        <v>23</v>
      </c>
      <c r="B7" s="4">
        <v>64754.429999999898</v>
      </c>
      <c r="C7" s="4">
        <v>56772.466</v>
      </c>
      <c r="D7" s="4">
        <v>64491.260399999897</v>
      </c>
      <c r="E7" s="4">
        <v>186018.1563999998</v>
      </c>
    </row>
    <row r="8" spans="1:5" x14ac:dyDescent="0.25">
      <c r="A8" s="3" t="s">
        <v>24</v>
      </c>
      <c r="B8" s="4">
        <v>65451.982499999896</v>
      </c>
      <c r="C8" s="4">
        <v>58052.01</v>
      </c>
      <c r="D8" s="4">
        <v>64960.450199999897</v>
      </c>
      <c r="E8" s="4">
        <v>188464.44269999981</v>
      </c>
    </row>
    <row r="9" spans="1:5" x14ac:dyDescent="0.25">
      <c r="A9" s="3" t="s">
        <v>25</v>
      </c>
      <c r="B9" s="4">
        <v>68978.977499999994</v>
      </c>
      <c r="C9" s="4">
        <v>59784.093000000001</v>
      </c>
      <c r="D9" s="4">
        <v>64307.948799999896</v>
      </c>
      <c r="E9" s="4">
        <v>193071.0192999999</v>
      </c>
    </row>
    <row r="10" spans="1:5" x14ac:dyDescent="0.25">
      <c r="A10" s="3" t="s">
        <v>26</v>
      </c>
      <c r="B10" s="4">
        <v>54798.862499999901</v>
      </c>
      <c r="C10" s="4">
        <v>49420.281000000003</v>
      </c>
      <c r="D10" s="4">
        <v>53410.002599999898</v>
      </c>
      <c r="E10" s="4">
        <v>157629.14609999981</v>
      </c>
    </row>
    <row r="11" spans="1:5" x14ac:dyDescent="0.25">
      <c r="A11" s="3" t="s">
        <v>12</v>
      </c>
      <c r="B11" s="4">
        <v>393212.73749999958</v>
      </c>
      <c r="C11" s="4">
        <v>336723.82</v>
      </c>
      <c r="D11" s="4">
        <v>376125.20039999939</v>
      </c>
      <c r="E11" s="4">
        <v>1106061.7578999992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8D01-15D0-4AF8-BAB7-EE3AEEDF390D}">
  <dimension ref="A3:E11"/>
  <sheetViews>
    <sheetView workbookViewId="0">
      <selection activeCell="E11" sqref="A3:E11"/>
    </sheetView>
  </sheetViews>
  <sheetFormatPr defaultRowHeight="15" x14ac:dyDescent="0.25"/>
  <cols>
    <col min="1" max="1" width="23.7109375" bestFit="1" customWidth="1"/>
    <col min="2" max="2" width="16.85546875" bestFit="1" customWidth="1"/>
    <col min="3" max="5" width="12" bestFit="1" customWidth="1"/>
  </cols>
  <sheetData>
    <row r="3" spans="1:5" x14ac:dyDescent="0.25">
      <c r="A3" s="2" t="s">
        <v>27</v>
      </c>
      <c r="B3" s="2" t="s">
        <v>19</v>
      </c>
    </row>
    <row r="4" spans="1:5" x14ac:dyDescent="0.25">
      <c r="A4" s="2" t="s">
        <v>11</v>
      </c>
      <c r="B4" t="s">
        <v>8</v>
      </c>
      <c r="C4" t="s">
        <v>9</v>
      </c>
      <c r="D4" t="s">
        <v>10</v>
      </c>
      <c r="E4" t="s">
        <v>12</v>
      </c>
    </row>
    <row r="5" spans="1:5" x14ac:dyDescent="0.25">
      <c r="A5" s="3" t="s">
        <v>13</v>
      </c>
      <c r="B5" s="4">
        <v>38.737204542119301</v>
      </c>
      <c r="C5" s="4">
        <v>31.783508251131099</v>
      </c>
      <c r="D5" s="4">
        <v>34.588837455431403</v>
      </c>
      <c r="E5" s="4">
        <v>105.1095502486818</v>
      </c>
    </row>
    <row r="6" spans="1:5" x14ac:dyDescent="0.25">
      <c r="A6" s="3" t="s">
        <v>14</v>
      </c>
      <c r="B6" s="4">
        <v>38.848478284969801</v>
      </c>
      <c r="C6" s="4">
        <v>30.997277307828</v>
      </c>
      <c r="D6" s="4">
        <v>35.345393377128701</v>
      </c>
      <c r="E6" s="4">
        <v>105.1911489699265</v>
      </c>
    </row>
    <row r="7" spans="1:5" x14ac:dyDescent="0.25">
      <c r="A7" s="3" t="s">
        <v>15</v>
      </c>
      <c r="B7" s="4">
        <v>39.008779718364401</v>
      </c>
      <c r="C7" s="4">
        <v>31.663312018385898</v>
      </c>
      <c r="D7" s="4">
        <v>35.250051985294903</v>
      </c>
      <c r="E7" s="4">
        <v>105.92214372204521</v>
      </c>
    </row>
    <row r="8" spans="1:5" x14ac:dyDescent="0.25">
      <c r="A8" s="3" t="s">
        <v>16</v>
      </c>
      <c r="B8" s="4">
        <v>38.735038656116501</v>
      </c>
      <c r="C8" s="4">
        <v>31.755586615327701</v>
      </c>
      <c r="D8" s="4">
        <v>34.424330525945798</v>
      </c>
      <c r="E8" s="4">
        <v>104.91495579739001</v>
      </c>
    </row>
    <row r="9" spans="1:5" x14ac:dyDescent="0.25">
      <c r="A9" s="3" t="s">
        <v>17</v>
      </c>
      <c r="B9" s="4">
        <v>38.323064136067998</v>
      </c>
      <c r="C9" s="4">
        <v>31.140258126523499</v>
      </c>
      <c r="D9" s="4">
        <v>34.961097251072601</v>
      </c>
      <c r="E9" s="4">
        <v>104.42441951366411</v>
      </c>
    </row>
    <row r="10" spans="1:5" x14ac:dyDescent="0.25">
      <c r="A10" s="3" t="s">
        <v>18</v>
      </c>
      <c r="B10" s="4">
        <v>38.038529908718601</v>
      </c>
      <c r="C10" s="4">
        <v>31.278919980350899</v>
      </c>
      <c r="D10" s="4">
        <v>34.613065151792803</v>
      </c>
      <c r="E10" s="4">
        <v>103.9305150408623</v>
      </c>
    </row>
    <row r="11" spans="1:5" x14ac:dyDescent="0.25">
      <c r="A11" s="3" t="s">
        <v>12</v>
      </c>
      <c r="B11" s="4">
        <v>231.69109524635661</v>
      </c>
      <c r="C11" s="4">
        <v>188.61886229954709</v>
      </c>
      <c r="D11" s="4">
        <v>209.18277574666621</v>
      </c>
      <c r="E11" s="4">
        <v>629.49273329256994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8506-7D46-4304-8716-B57C3CEB6CD7}">
  <dimension ref="A3:C10"/>
  <sheetViews>
    <sheetView tabSelected="1" workbookViewId="0">
      <selection activeCell="B6" sqref="B6"/>
    </sheetView>
  </sheetViews>
  <sheetFormatPr defaultRowHeight="15" x14ac:dyDescent="0.25"/>
  <cols>
    <col min="1" max="1" width="13.42578125" bestFit="1" customWidth="1"/>
    <col min="2" max="2" width="15.28515625" bestFit="1" customWidth="1"/>
    <col min="3" max="3" width="11.85546875" bestFit="1" customWidth="1"/>
  </cols>
  <sheetData>
    <row r="3" spans="1:3" x14ac:dyDescent="0.25">
      <c r="A3" s="2" t="s">
        <v>11</v>
      </c>
      <c r="B3" t="s">
        <v>28</v>
      </c>
      <c r="C3" t="s">
        <v>29</v>
      </c>
    </row>
    <row r="4" spans="1:3" x14ac:dyDescent="0.25">
      <c r="A4" s="3" t="s">
        <v>13</v>
      </c>
      <c r="B4" s="4">
        <v>531191.71120000002</v>
      </c>
      <c r="C4" s="4">
        <v>331764.299999999</v>
      </c>
    </row>
    <row r="5" spans="1:3" x14ac:dyDescent="0.25">
      <c r="A5" s="3" t="s">
        <v>14</v>
      </c>
      <c r="B5" s="4">
        <v>555129.08219999901</v>
      </c>
      <c r="C5" s="4">
        <v>346406.19999999902</v>
      </c>
    </row>
    <row r="6" spans="1:3" x14ac:dyDescent="0.25">
      <c r="A6" s="3" t="s">
        <v>15</v>
      </c>
      <c r="B6" s="4">
        <v>528253.75639999902</v>
      </c>
      <c r="C6" s="4">
        <v>328928.59999999899</v>
      </c>
    </row>
    <row r="7" spans="1:3" x14ac:dyDescent="0.25">
      <c r="A7" s="3" t="s">
        <v>16</v>
      </c>
      <c r="B7" s="4">
        <v>540487.44269999897</v>
      </c>
      <c r="C7" s="4">
        <v>338616.59999999899</v>
      </c>
    </row>
    <row r="8" spans="1:3" x14ac:dyDescent="0.25">
      <c r="A8" s="3" t="s">
        <v>17</v>
      </c>
      <c r="B8" s="4">
        <v>555918.11929999897</v>
      </c>
      <c r="C8" s="4">
        <v>349231.39999999898</v>
      </c>
    </row>
    <row r="9" spans="1:3" x14ac:dyDescent="0.25">
      <c r="A9" s="3" t="s">
        <v>18</v>
      </c>
      <c r="B9" s="4">
        <v>456366.04609999899</v>
      </c>
      <c r="C9" s="4">
        <v>286334.299999999</v>
      </c>
    </row>
    <row r="10" spans="1:3" x14ac:dyDescent="0.25">
      <c r="A10" s="3" t="s">
        <v>12</v>
      </c>
      <c r="B10" s="4">
        <v>3167346.1578999949</v>
      </c>
      <c r="C10" s="4">
        <v>1981281.3999999939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3015-9A99-40B2-8439-E7F2ECB96EA6}">
  <dimension ref="A1:H19"/>
  <sheetViews>
    <sheetView workbookViewId="0">
      <selection activeCell="D13" sqref="D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45748</v>
      </c>
      <c r="B2" t="s">
        <v>8</v>
      </c>
      <c r="C2">
        <v>171619.005</v>
      </c>
      <c r="D2">
        <v>101148.6</v>
      </c>
      <c r="E2">
        <v>3990</v>
      </c>
      <c r="F2">
        <v>66480.404999999999</v>
      </c>
      <c r="G2">
        <v>24083</v>
      </c>
      <c r="H2">
        <v>38.737204542119301</v>
      </c>
    </row>
    <row r="3" spans="1:8" x14ac:dyDescent="0.25">
      <c r="A3" s="1">
        <v>45748</v>
      </c>
      <c r="B3" t="s">
        <v>9</v>
      </c>
      <c r="C3">
        <v>185247.87299999999</v>
      </c>
      <c r="D3">
        <v>121340.799999999</v>
      </c>
      <c r="E3">
        <v>5028.7999999999902</v>
      </c>
      <c r="F3">
        <v>58878.273000000001</v>
      </c>
      <c r="G3">
        <v>21668</v>
      </c>
      <c r="H3">
        <v>31.783508251131099</v>
      </c>
    </row>
    <row r="4" spans="1:8" x14ac:dyDescent="0.25">
      <c r="A4" s="1">
        <v>45748</v>
      </c>
      <c r="B4" t="s">
        <v>10</v>
      </c>
      <c r="C4">
        <v>174324.83319999999</v>
      </c>
      <c r="D4">
        <v>109274.9</v>
      </c>
      <c r="E4">
        <v>4753</v>
      </c>
      <c r="F4">
        <v>60296.933199999898</v>
      </c>
      <c r="G4">
        <v>22301</v>
      </c>
      <c r="H4">
        <v>34.588837455431403</v>
      </c>
    </row>
    <row r="5" spans="1:8" x14ac:dyDescent="0.25">
      <c r="A5" s="1">
        <v>45778</v>
      </c>
      <c r="B5" t="s">
        <v>8</v>
      </c>
      <c r="C5">
        <v>187261.08</v>
      </c>
      <c r="D5">
        <v>110716.2</v>
      </c>
      <c r="E5">
        <v>3796.8</v>
      </c>
      <c r="F5">
        <v>72748.0799999999</v>
      </c>
      <c r="G5">
        <v>26361</v>
      </c>
      <c r="H5">
        <v>38.848478284969801</v>
      </c>
    </row>
    <row r="6" spans="1:8" x14ac:dyDescent="0.25">
      <c r="A6" s="1">
        <v>45778</v>
      </c>
      <c r="B6" t="s">
        <v>9</v>
      </c>
      <c r="C6">
        <v>173617.497</v>
      </c>
      <c r="D6">
        <v>114542.399999999</v>
      </c>
      <c r="E6">
        <v>5258.3999999999896</v>
      </c>
      <c r="F6">
        <v>53816.697</v>
      </c>
      <c r="G6">
        <v>20454</v>
      </c>
      <c r="H6">
        <v>30.997277307828</v>
      </c>
    </row>
    <row r="7" spans="1:8" x14ac:dyDescent="0.25">
      <c r="A7" s="1">
        <v>45778</v>
      </c>
      <c r="B7" t="s">
        <v>10</v>
      </c>
      <c r="C7">
        <v>194250.505199999</v>
      </c>
      <c r="D7">
        <v>121147.6</v>
      </c>
      <c r="E7">
        <v>4444.3</v>
      </c>
      <c r="F7">
        <v>68658.605199999904</v>
      </c>
      <c r="G7">
        <v>24724</v>
      </c>
      <c r="H7">
        <v>35.345393377128701</v>
      </c>
    </row>
    <row r="8" spans="1:8" x14ac:dyDescent="0.25">
      <c r="A8" s="1">
        <v>45809</v>
      </c>
      <c r="B8" t="s">
        <v>8</v>
      </c>
      <c r="C8">
        <v>165999.63</v>
      </c>
      <c r="D8">
        <v>97654.2</v>
      </c>
      <c r="E8">
        <v>3591</v>
      </c>
      <c r="F8">
        <v>64754.429999999898</v>
      </c>
      <c r="G8">
        <v>23251</v>
      </c>
      <c r="H8">
        <v>39.008779718364401</v>
      </c>
    </row>
    <row r="9" spans="1:8" x14ac:dyDescent="0.25">
      <c r="A9" s="1">
        <v>45809</v>
      </c>
      <c r="B9" t="s">
        <v>9</v>
      </c>
      <c r="C9">
        <v>179300.46599999999</v>
      </c>
      <c r="D9">
        <v>117359.19999999899</v>
      </c>
      <c r="E9">
        <v>5168.7999999999902</v>
      </c>
      <c r="F9">
        <v>56772.466</v>
      </c>
      <c r="G9">
        <v>20957</v>
      </c>
      <c r="H9">
        <v>31.663312018385898</v>
      </c>
    </row>
    <row r="10" spans="1:8" x14ac:dyDescent="0.25">
      <c r="A10" s="1">
        <v>45809</v>
      </c>
      <c r="B10" t="s">
        <v>10</v>
      </c>
      <c r="C10">
        <v>182953.660399999</v>
      </c>
      <c r="D10">
        <v>113915.2</v>
      </c>
      <c r="E10">
        <v>4547.2</v>
      </c>
      <c r="F10">
        <v>64491.260399999897</v>
      </c>
      <c r="G10">
        <v>23248</v>
      </c>
      <c r="H10">
        <v>35.250051985294903</v>
      </c>
    </row>
    <row r="11" spans="1:8" x14ac:dyDescent="0.25">
      <c r="A11" s="1">
        <v>45839</v>
      </c>
      <c r="B11" t="s">
        <v>8</v>
      </c>
      <c r="C11">
        <v>168973.58249999999</v>
      </c>
      <c r="D11">
        <v>99569.4</v>
      </c>
      <c r="E11">
        <v>3952.2</v>
      </c>
      <c r="F11">
        <v>65451.982499999896</v>
      </c>
      <c r="G11">
        <v>23707</v>
      </c>
      <c r="H11">
        <v>38.735038656116501</v>
      </c>
    </row>
    <row r="12" spans="1:8" x14ac:dyDescent="0.25">
      <c r="A12" s="1">
        <v>45839</v>
      </c>
      <c r="B12" t="s">
        <v>9</v>
      </c>
      <c r="C12">
        <v>182808.81</v>
      </c>
      <c r="D12">
        <v>119683.19999999899</v>
      </c>
      <c r="E12">
        <v>5073.5999999999904</v>
      </c>
      <c r="F12">
        <v>58052.01</v>
      </c>
      <c r="G12">
        <v>21372</v>
      </c>
      <c r="H12">
        <v>31.755586615327701</v>
      </c>
    </row>
    <row r="13" spans="1:8" x14ac:dyDescent="0.25">
      <c r="A13" s="1">
        <v>45839</v>
      </c>
      <c r="B13" t="s">
        <v>10</v>
      </c>
      <c r="C13">
        <v>188705.05019999901</v>
      </c>
      <c r="D13">
        <v>119364</v>
      </c>
      <c r="E13">
        <v>4380.6000000000004</v>
      </c>
      <c r="F13">
        <v>64960.450199999897</v>
      </c>
      <c r="G13">
        <v>24360</v>
      </c>
      <c r="H13">
        <v>34.424330525945798</v>
      </c>
    </row>
    <row r="14" spans="1:8" x14ac:dyDescent="0.25">
      <c r="A14" s="1">
        <v>45870</v>
      </c>
      <c r="B14" t="s">
        <v>8</v>
      </c>
      <c r="C14">
        <v>179993.3775</v>
      </c>
      <c r="D14">
        <v>107226</v>
      </c>
      <c r="E14">
        <v>3788.4</v>
      </c>
      <c r="F14">
        <v>68978.977499999994</v>
      </c>
      <c r="G14">
        <v>25530</v>
      </c>
      <c r="H14">
        <v>38.323064136067998</v>
      </c>
    </row>
    <row r="15" spans="1:8" x14ac:dyDescent="0.25">
      <c r="A15" s="1">
        <v>45870</v>
      </c>
      <c r="B15" t="s">
        <v>9</v>
      </c>
      <c r="C15">
        <v>191983.29300000001</v>
      </c>
      <c r="D15">
        <v>127002.399999999</v>
      </c>
      <c r="E15">
        <v>5196.7999999999902</v>
      </c>
      <c r="F15">
        <v>59784.093000000001</v>
      </c>
      <c r="G15">
        <v>22679</v>
      </c>
      <c r="H15">
        <v>31.140258126523499</v>
      </c>
    </row>
    <row r="16" spans="1:8" x14ac:dyDescent="0.25">
      <c r="A16" s="1">
        <v>45870</v>
      </c>
      <c r="B16" t="s">
        <v>10</v>
      </c>
      <c r="C16">
        <v>183941.44879999899</v>
      </c>
      <c r="D16">
        <v>115003</v>
      </c>
      <c r="E16">
        <v>4630.5</v>
      </c>
      <c r="F16">
        <v>64307.948799999896</v>
      </c>
      <c r="G16">
        <v>23470</v>
      </c>
      <c r="H16">
        <v>34.961097251072601</v>
      </c>
    </row>
    <row r="17" spans="1:8" x14ac:dyDescent="0.25">
      <c r="A17" s="1">
        <v>45901</v>
      </c>
      <c r="B17" t="s">
        <v>8</v>
      </c>
      <c r="C17">
        <v>144061.46249999999</v>
      </c>
      <c r="D17">
        <v>85642.2</v>
      </c>
      <c r="E17">
        <v>3620.4</v>
      </c>
      <c r="F17">
        <v>54798.862499999901</v>
      </c>
      <c r="G17">
        <v>20391</v>
      </c>
      <c r="H17">
        <v>38.038529908718601</v>
      </c>
    </row>
    <row r="18" spans="1:8" x14ac:dyDescent="0.25">
      <c r="A18" s="1">
        <v>45901</v>
      </c>
      <c r="B18" t="s">
        <v>9</v>
      </c>
      <c r="C18">
        <v>157998.68100000001</v>
      </c>
      <c r="D18">
        <v>103667.19999999899</v>
      </c>
      <c r="E18">
        <v>4911.1999999999898</v>
      </c>
      <c r="F18">
        <v>49420.281000000003</v>
      </c>
      <c r="G18">
        <v>18512</v>
      </c>
      <c r="H18">
        <v>31.278919980350899</v>
      </c>
    </row>
    <row r="19" spans="1:8" x14ac:dyDescent="0.25">
      <c r="A19" s="1">
        <v>45901</v>
      </c>
      <c r="B19" t="s">
        <v>10</v>
      </c>
      <c r="C19">
        <v>154305.90259999901</v>
      </c>
      <c r="D19">
        <v>97024.9</v>
      </c>
      <c r="E19">
        <v>3871</v>
      </c>
      <c r="F19">
        <v>53410.002599999898</v>
      </c>
      <c r="G19">
        <v>19801</v>
      </c>
      <c r="H19">
        <v>34.613065151792803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Gross Profit by Product &amp; Month</vt:lpstr>
      <vt:lpstr>Gross Margin % by Product (Line</vt:lpstr>
      <vt:lpstr>  Revenue vs COGS </vt:lpstr>
      <vt:lpstr>p2_monthly_product_summary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Ike Amobi</cp:lastModifiedBy>
  <dcterms:created xsi:type="dcterms:W3CDTF">2025-11-01T17:41:40Z</dcterms:created>
  <dcterms:modified xsi:type="dcterms:W3CDTF">2025-11-01T18:33:09Z</dcterms:modified>
</cp:coreProperties>
</file>